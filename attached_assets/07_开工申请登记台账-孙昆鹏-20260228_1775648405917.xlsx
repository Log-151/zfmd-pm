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E9AE29FC-F694-4D3D-8B83-20BBFDEA33E3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2" sheetId="2" r:id="rId1"/>
    <sheet name="Sheet3" sheetId="3" r:id="rId2"/>
  </sheets>
  <definedNames>
    <definedName name="_xlnm._FilterDatabase" localSheetId="0" hidden="1">Sheet2!$A$2:$X$16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16" i="2" l="1"/>
  <c r="R16" i="2"/>
  <c r="Q1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Q4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ZFMD/KGSQ-17030-BG01
</t>
        </r>
        <r>
          <rPr>
            <sz val="9"/>
            <color indexed="81"/>
            <rFont val="宋体"/>
            <family val="3"/>
            <charset val="134"/>
          </rPr>
          <t>预计合同额</t>
        </r>
        <r>
          <rPr>
            <sz val="9"/>
            <color indexed="81"/>
            <rFont val="Tahoma"/>
            <family val="2"/>
          </rPr>
          <t>10</t>
        </r>
        <r>
          <rPr>
            <sz val="9"/>
            <color indexed="81"/>
            <rFont val="宋体"/>
            <family val="3"/>
            <charset val="134"/>
          </rPr>
          <t>万变更为</t>
        </r>
        <r>
          <rPr>
            <sz val="9"/>
            <color indexed="81"/>
            <rFont val="Tahoma"/>
            <family val="2"/>
          </rPr>
          <t>13.2</t>
        </r>
        <r>
          <rPr>
            <sz val="9"/>
            <color indexed="81"/>
            <rFont val="宋体"/>
            <family val="3"/>
            <charset val="134"/>
          </rPr>
          <t>万元</t>
        </r>
      </text>
    </comment>
    <comment ref="R4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ZFMD/KGSQ-17030-BG01
</t>
        </r>
        <r>
          <rPr>
            <sz val="9"/>
            <color indexed="81"/>
            <rFont val="宋体"/>
            <family val="3"/>
            <charset val="134"/>
          </rPr>
          <t>硬件成为本由</t>
        </r>
        <r>
          <rPr>
            <sz val="9"/>
            <color indexed="81"/>
            <rFont val="Tahoma"/>
            <family val="2"/>
          </rPr>
          <t>0.1</t>
        </r>
        <r>
          <rPr>
            <sz val="9"/>
            <color indexed="81"/>
            <rFont val="宋体"/>
            <family val="3"/>
            <charset val="134"/>
          </rPr>
          <t>万元增加为</t>
        </r>
        <r>
          <rPr>
            <sz val="9"/>
            <color indexed="81"/>
            <rFont val="Tahoma"/>
            <family val="2"/>
          </rPr>
          <t>1.5</t>
        </r>
        <r>
          <rPr>
            <sz val="9"/>
            <color indexed="81"/>
            <rFont val="宋体"/>
            <family val="3"/>
            <charset val="134"/>
          </rPr>
          <t>万元</t>
        </r>
      </text>
    </comment>
  </commentList>
</comments>
</file>

<file path=xl/sharedStrings.xml><?xml version="1.0" encoding="utf-8"?>
<sst xmlns="http://schemas.openxmlformats.org/spreadsheetml/2006/main" count="195" uniqueCount="94">
  <si>
    <t>ZFMD/KGSQ-17023</t>
  </si>
  <si>
    <t>中广核</t>
  </si>
  <si>
    <t>ZFMD/KGSQ-17030</t>
  </si>
  <si>
    <t>开工申请编号</t>
    <phoneticPr fontId="2" type="noConversion"/>
  </si>
  <si>
    <t>序号</t>
  </si>
  <si>
    <t>中水建设</t>
  </si>
  <si>
    <t>华电</t>
  </si>
  <si>
    <t>产品线</t>
    <phoneticPr fontId="1" type="noConversion"/>
  </si>
  <si>
    <t>销售经理</t>
    <phoneticPr fontId="1" type="noConversion"/>
  </si>
  <si>
    <t>/</t>
    <phoneticPr fontId="1" type="noConversion"/>
  </si>
  <si>
    <t>预计成本</t>
    <phoneticPr fontId="1" type="noConversion"/>
  </si>
  <si>
    <t>ZFMD/KGSQ-17093</t>
  </si>
  <si>
    <t>ZFMD/KGSQ-17094</t>
  </si>
  <si>
    <t>风电功率预测</t>
  </si>
  <si>
    <t>预测服务1年</t>
  </si>
  <si>
    <t>开工变更申请表编号</t>
    <phoneticPr fontId="1" type="noConversion"/>
  </si>
  <si>
    <t>开工申请
流转时间</t>
    <phoneticPr fontId="1" type="noConversion"/>
  </si>
  <si>
    <t>黑龙江</t>
    <phoneticPr fontId="2" type="noConversion"/>
  </si>
  <si>
    <t>/</t>
    <phoneticPr fontId="1" type="noConversion"/>
  </si>
  <si>
    <t>风电功率预测</t>
    <phoneticPr fontId="2" type="noConversion"/>
  </si>
  <si>
    <t>辽宁</t>
    <phoneticPr fontId="2" type="noConversion"/>
  </si>
  <si>
    <t>韩志宇</t>
    <phoneticPr fontId="1" type="noConversion"/>
  </si>
  <si>
    <t>李妍</t>
    <phoneticPr fontId="1" type="noConversion"/>
  </si>
  <si>
    <t>马梦迪</t>
    <phoneticPr fontId="2" type="noConversion"/>
  </si>
  <si>
    <t>软件升级理论功率上传</t>
    <phoneticPr fontId="2" type="noConversion"/>
  </si>
  <si>
    <t>大庆大丰</t>
    <phoneticPr fontId="2" type="noConversion"/>
  </si>
  <si>
    <t>软件升级理论功率上传</t>
    <phoneticPr fontId="2" type="noConversion"/>
  </si>
  <si>
    <t>韩志宇</t>
    <phoneticPr fontId="2" type="noConversion"/>
  </si>
  <si>
    <t>ZFMD/KGSQ-17030-BG01</t>
    <phoneticPr fontId="1" type="noConversion"/>
  </si>
  <si>
    <t>光伏功率预测</t>
    <phoneticPr fontId="2" type="noConversion"/>
  </si>
  <si>
    <t>王国先</t>
    <phoneticPr fontId="2" type="noConversion"/>
  </si>
  <si>
    <t>/</t>
    <phoneticPr fontId="1" type="noConversion"/>
  </si>
  <si>
    <t>ZFMD/SD-18018-1-SH
ZFMD/SD-18018-2-SH
ZFMD/SD-18018-3-SH</t>
    <phoneticPr fontId="1" type="noConversion"/>
  </si>
  <si>
    <t>黑龙江</t>
    <phoneticPr fontId="1" type="noConversion"/>
  </si>
  <si>
    <t>风电功率预测</t>
    <phoneticPr fontId="1" type="noConversion"/>
  </si>
  <si>
    <t>合计</t>
    <phoneticPr fontId="1" type="noConversion"/>
  </si>
  <si>
    <t>项目交底会
时间</t>
    <phoneticPr fontId="1" type="noConversion"/>
  </si>
  <si>
    <t>场站类型</t>
    <phoneticPr fontId="1" type="noConversion"/>
  </si>
  <si>
    <t>省（区）</t>
    <phoneticPr fontId="1" type="noConversion"/>
  </si>
  <si>
    <t>开工项目内容</t>
    <phoneticPr fontId="1" type="noConversion"/>
  </si>
  <si>
    <t>预计合同金额</t>
    <phoneticPr fontId="1" type="noConversion"/>
  </si>
  <si>
    <t>实际合同金额</t>
    <phoneticPr fontId="1" type="noConversion"/>
  </si>
  <si>
    <t>开工申请登记台账</t>
    <phoneticPr fontId="1" type="noConversion"/>
  </si>
  <si>
    <t>中广核</t>
    <phoneticPr fontId="1" type="noConversion"/>
  </si>
  <si>
    <t>吉林</t>
    <phoneticPr fontId="1" type="noConversion"/>
  </si>
  <si>
    <t>风电场</t>
    <phoneticPr fontId="1" type="noConversion"/>
  </si>
  <si>
    <t>/</t>
    <phoneticPr fontId="1" type="noConversion"/>
  </si>
  <si>
    <t>集团</t>
    <phoneticPr fontId="1" type="noConversion"/>
  </si>
  <si>
    <t>ZFMD/SD-18054-SH</t>
    <phoneticPr fontId="2" type="noConversion"/>
  </si>
  <si>
    <t>新疆</t>
    <phoneticPr fontId="1" type="noConversion"/>
  </si>
  <si>
    <t>对应合同编号</t>
    <phoneticPr fontId="1" type="noConversion"/>
  </si>
  <si>
    <t>开工申请
取消时间</t>
    <phoneticPr fontId="1" type="noConversion"/>
  </si>
  <si>
    <t>备注</t>
    <phoneticPr fontId="1" type="noConversion"/>
  </si>
  <si>
    <t>是否发生成本费用</t>
    <phoneticPr fontId="1" type="noConversion"/>
  </si>
  <si>
    <t>成本费用处理</t>
    <phoneticPr fontId="1" type="noConversion"/>
  </si>
  <si>
    <t>未流转</t>
    <phoneticPr fontId="1" type="noConversion"/>
  </si>
  <si>
    <t>否</t>
    <phoneticPr fontId="1" type="noConversion"/>
  </si>
  <si>
    <t>无</t>
    <phoneticPr fontId="1" type="noConversion"/>
  </si>
  <si>
    <t>2018.7.16</t>
    <phoneticPr fontId="1" type="noConversion"/>
  </si>
  <si>
    <t>华能</t>
    <phoneticPr fontId="1" type="noConversion"/>
  </si>
  <si>
    <t>2018.8.2</t>
    <phoneticPr fontId="1" type="noConversion"/>
  </si>
  <si>
    <t>王星</t>
    <phoneticPr fontId="1" type="noConversion"/>
  </si>
  <si>
    <t>短期软件；超短期软件；系统硬件；预测服务2年</t>
    <phoneticPr fontId="1" type="noConversion"/>
  </si>
  <si>
    <t>短期软件；超短期软件；系统硬件；预测服务6个月</t>
    <phoneticPr fontId="1" type="noConversion"/>
  </si>
  <si>
    <t>ZFMD/SD-18199-SH</t>
  </si>
  <si>
    <t>到货时间</t>
    <phoneticPr fontId="1" type="noConversion"/>
  </si>
  <si>
    <t>验收时间</t>
    <phoneticPr fontId="1" type="noConversion"/>
  </si>
  <si>
    <t>场站名称</t>
    <phoneticPr fontId="1" type="noConversion"/>
  </si>
  <si>
    <t>交付部门</t>
    <phoneticPr fontId="1" type="noConversion"/>
  </si>
  <si>
    <t>项目经理</t>
    <phoneticPr fontId="1" type="noConversion"/>
  </si>
  <si>
    <t>工程项目部</t>
    <phoneticPr fontId="1" type="noConversion"/>
  </si>
  <si>
    <t>ZFMD/KGSQ-25071</t>
  </si>
  <si>
    <t>ZFMD/KGSQ-25072</t>
  </si>
  <si>
    <t>ZFMD/KGSQ-25073</t>
  </si>
  <si>
    <t>2025.12.26</t>
    <phoneticPr fontId="1" type="noConversion"/>
  </si>
  <si>
    <t>ZFMD/KGSQ-26001</t>
    <phoneticPr fontId="1" type="noConversion"/>
  </si>
  <si>
    <t>2026.1.17</t>
    <phoneticPr fontId="1" type="noConversion"/>
  </si>
  <si>
    <t>国家能源</t>
    <phoneticPr fontId="1" type="noConversion"/>
  </si>
  <si>
    <t>ZFMD/SD-26014-SH</t>
  </si>
  <si>
    <t>2026.2.7</t>
    <phoneticPr fontId="1" type="noConversion"/>
  </si>
  <si>
    <t>2026.1.15</t>
    <phoneticPr fontId="1" type="noConversion"/>
  </si>
  <si>
    <t>ZFMD/KGSQ-26002</t>
  </si>
  <si>
    <t>2026.3.25</t>
    <phoneticPr fontId="1" type="noConversion"/>
  </si>
  <si>
    <t>短期软件；超短期软件；系统硬件；软件升级；预测服务1年</t>
    <phoneticPr fontId="1" type="noConversion"/>
  </si>
  <si>
    <t>ZFMD/KGSQ-26002-BG01</t>
    <phoneticPr fontId="1" type="noConversion"/>
  </si>
  <si>
    <t>A</t>
    <phoneticPr fontId="2" type="noConversion"/>
  </si>
  <si>
    <t>B</t>
    <phoneticPr fontId="2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</si>
  <si>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</si>
  <si>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</si>
  <si>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</si>
  <si>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</si>
  <si>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J</t>
    <phoneticPr fontId="1" type="noConversion"/>
  </si>
  <si>
    <t>H</t>
    <phoneticPr fontId="1" type="noConversion"/>
  </si>
  <si>
    <t>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</si>
</sst>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);[Red]\(0.0\)"/>
    <numFmt numFmtId="177" formatCode="0.0000_);[Red]\(0.0000\)"/>
  </numFmts>
  <fonts count="1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9"/>
      <color indexed="8"/>
      <name val="宋体"/>
      <family val="3"/>
      <charset val="134"/>
    </font>
    <font>
      <b/>
      <sz val="9"/>
      <name val="宋体"/>
      <family val="3"/>
      <charset val="134"/>
    </font>
    <font>
      <b/>
      <sz val="14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9" fillId="0" borderId="0"/>
  </cellStyleXfs>
  <cellXfs count="40">
    <xf numFmtId="0" fontId="0" fillId="0" borderId="0" xfId="0">
      <alignment vertical="center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176" fontId="10" fillId="2" borderId="1" xfId="1" applyNumberFormat="1" applyFont="1" applyFill="1" applyBorder="1" applyAlignment="1">
      <alignment horizontal="center" vertical="center" wrapText="1" shrinkToFit="1"/>
    </xf>
    <xf numFmtId="176" fontId="11" fillId="2" borderId="1" xfId="1" applyNumberFormat="1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176" fontId="4" fillId="0" borderId="1" xfId="1" applyNumberFormat="1" applyFont="1" applyBorder="1" applyAlignment="1">
      <alignment horizontal="center" vertical="center" wrapText="1" shrinkToFit="1"/>
    </xf>
    <xf numFmtId="176" fontId="2" fillId="0" borderId="1" xfId="1" applyNumberFormat="1" applyFont="1" applyBorder="1" applyAlignment="1">
      <alignment horizontal="center" vertical="center" wrapText="1" shrinkToFit="1"/>
    </xf>
    <xf numFmtId="0" fontId="4" fillId="0" borderId="1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right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10" fillId="0" borderId="1" xfId="0" applyNumberFormat="1" applyFont="1" applyBorder="1" applyAlignment="1">
      <alignment horizontal="right" vertical="center" wrapText="1"/>
    </xf>
    <xf numFmtId="177" fontId="4" fillId="0" borderId="0" xfId="0" applyNumberFormat="1" applyFont="1" applyAlignment="1">
      <alignment horizontal="right" vertical="center" wrapText="1"/>
    </xf>
    <xf numFmtId="0" fontId="15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left" vertical="center" wrapText="1"/>
    </xf>
    <xf numFmtId="177" fontId="10" fillId="0" borderId="1" xfId="0" applyNumberFormat="1" applyFont="1" applyBorder="1" applyAlignment="1">
      <alignment horizontal="left" vertical="center" wrapText="1"/>
    </xf>
    <xf numFmtId="177" fontId="4" fillId="0" borderId="0" xfId="0" applyNumberFormat="1" applyFont="1" applyAlignment="1">
      <alignment horizontal="lef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0" fontId="2" fillId="3" borderId="3" xfId="1" applyFont="1" applyFill="1" applyBorder="1" applyAlignment="1">
      <alignment horizontal="center" vertical="center"/>
    </xf>
    <xf numFmtId="177" fontId="4" fillId="0" borderId="1" xfId="0" applyNumberFormat="1" applyFont="1" applyBorder="1" applyAlignment="1">
      <alignment horizontal="right" vertical="center" wrapText="1"/>
    </xf>
    <xf numFmtId="0" fontId="12" fillId="0" borderId="2" xfId="0" applyFont="1" applyBorder="1" applyAlignment="1">
      <alignment horizontal="center" vertical="center" wrapText="1"/>
    </xf>
  </cellXfs>
  <cellStyles count="3">
    <cellStyle name="常规" xfId="0" builtinId="0"/>
    <cellStyle name="常规 2" xfId="1" xr:uid="{00000000-0005-0000-0000-000001000000}"/>
    <cellStyle name="常规 4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K13" sqref="K13"/>
    </sheetView>
  </sheetViews>
  <sheetFormatPr defaultColWidth="9" defaultRowHeight="31.9" customHeight="1" x14ac:dyDescent="0.15"/>
  <cols>
    <col min="1" max="1" width="9" style="2"/>
    <col min="2" max="2" width="14.25" style="2" customWidth="1"/>
    <col min="3" max="3" width="18.125" style="2" customWidth="1"/>
    <col min="4" max="4" width="15" style="2" customWidth="1"/>
    <col min="5" max="6" width="10.25" style="2" customWidth="1"/>
    <col min="7" max="7" width="14.125" style="2" customWidth="1"/>
    <col min="8" max="8" width="10.25" style="2" customWidth="1"/>
    <col min="9" max="9" width="8.75" style="2" bestFit="1" customWidth="1"/>
    <col min="10" max="10" width="9" style="2" bestFit="1" customWidth="1"/>
    <col min="11" max="11" width="24.75" style="2" bestFit="1" customWidth="1"/>
    <col min="12" max="12" width="9.5" style="2" customWidth="1"/>
    <col min="13" max="13" width="15.625" style="2" customWidth="1"/>
    <col min="14" max="14" width="29.5" style="10" customWidth="1"/>
    <col min="15" max="15" width="9.625" style="2" customWidth="1"/>
    <col min="16" max="16" width="10.375" style="34" customWidth="1"/>
    <col min="17" max="19" width="11.75" style="25" customWidth="1"/>
    <col min="20" max="20" width="22.75" style="29" customWidth="1"/>
    <col min="21" max="21" width="9.875" style="2" customWidth="1"/>
    <col min="22" max="16384" width="9" style="2"/>
  </cols>
  <sheetData>
    <row r="1" spans="1:24" s="11" customFormat="1" ht="31.9" customHeight="1" x14ac:dyDescent="0.15">
      <c r="A1" s="39" t="s">
        <v>42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</row>
    <row r="2" spans="1:24" s="6" customFormat="1" ht="24.95" customHeight="1" x14ac:dyDescent="0.15">
      <c r="A2" s="3" t="s">
        <v>4</v>
      </c>
      <c r="B2" s="4" t="s">
        <v>3</v>
      </c>
      <c r="C2" s="4" t="s">
        <v>15</v>
      </c>
      <c r="D2" s="4" t="s">
        <v>50</v>
      </c>
      <c r="E2" s="4" t="s">
        <v>51</v>
      </c>
      <c r="F2" s="4" t="s">
        <v>53</v>
      </c>
      <c r="G2" s="4" t="s">
        <v>54</v>
      </c>
      <c r="H2" s="4" t="s">
        <v>16</v>
      </c>
      <c r="I2" s="4" t="s">
        <v>38</v>
      </c>
      <c r="J2" s="4" t="s">
        <v>47</v>
      </c>
      <c r="K2" s="4" t="s">
        <v>67</v>
      </c>
      <c r="L2" s="4" t="s">
        <v>37</v>
      </c>
      <c r="M2" s="4" t="s">
        <v>7</v>
      </c>
      <c r="N2" s="5" t="s">
        <v>39</v>
      </c>
      <c r="O2" s="5" t="s">
        <v>8</v>
      </c>
      <c r="P2" s="5" t="s">
        <v>36</v>
      </c>
      <c r="Q2" s="5" t="s">
        <v>40</v>
      </c>
      <c r="R2" s="5" t="s">
        <v>10</v>
      </c>
      <c r="S2" s="5" t="s">
        <v>41</v>
      </c>
      <c r="T2" s="5" t="s">
        <v>52</v>
      </c>
      <c r="U2" s="5" t="s">
        <v>68</v>
      </c>
      <c r="V2" s="5" t="s">
        <v>69</v>
      </c>
      <c r="W2" s="5" t="s">
        <v>65</v>
      </c>
      <c r="X2" s="5" t="s">
        <v>66</v>
      </c>
    </row>
    <row r="3" spans="1:24" s="6" customFormat="1" ht="24.95" customHeight="1" x14ac:dyDescent="0.15">
      <c r="A3" s="12">
        <v>100</v>
      </c>
      <c r="B3" s="15" t="s">
        <v>0</v>
      </c>
      <c r="C3" s="1" t="s">
        <v>18</v>
      </c>
      <c r="D3" s="1" t="s">
        <v>18</v>
      </c>
      <c r="E3" s="1" t="s">
        <v>58</v>
      </c>
      <c r="F3" s="1" t="s">
        <v>56</v>
      </c>
      <c r="G3" s="1" t="s">
        <v>57</v>
      </c>
      <c r="H3" s="1" t="s">
        <v>55</v>
      </c>
      <c r="I3" s="15" t="s">
        <v>17</v>
      </c>
      <c r="J3" s="15" t="s">
        <v>25</v>
      </c>
      <c r="K3" s="16" t="s">
        <v>85</v>
      </c>
      <c r="L3" s="1" t="s">
        <v>9</v>
      </c>
      <c r="M3" s="14" t="s">
        <v>19</v>
      </c>
      <c r="N3" s="21" t="s">
        <v>24</v>
      </c>
      <c r="O3" s="15" t="s">
        <v>23</v>
      </c>
      <c r="P3" s="32" t="s">
        <v>46</v>
      </c>
      <c r="Q3" s="23">
        <v>10</v>
      </c>
      <c r="R3" s="23">
        <v>0.1</v>
      </c>
      <c r="S3" s="23"/>
      <c r="T3" s="27"/>
      <c r="U3" s="1" t="s">
        <v>9</v>
      </c>
      <c r="V3" s="1" t="s">
        <v>9</v>
      </c>
      <c r="W3" s="1" t="s">
        <v>9</v>
      </c>
      <c r="X3" s="1" t="s">
        <v>9</v>
      </c>
    </row>
    <row r="4" spans="1:24" s="6" customFormat="1" ht="24.95" customHeight="1" x14ac:dyDescent="0.15">
      <c r="A4" s="12">
        <v>107</v>
      </c>
      <c r="B4" s="15" t="s">
        <v>2</v>
      </c>
      <c r="C4" s="15" t="s">
        <v>28</v>
      </c>
      <c r="D4" s="26" t="s">
        <v>48</v>
      </c>
      <c r="E4" s="1" t="s">
        <v>9</v>
      </c>
      <c r="F4" s="1" t="s">
        <v>9</v>
      </c>
      <c r="G4" s="1" t="s">
        <v>9</v>
      </c>
      <c r="H4" s="1" t="s">
        <v>9</v>
      </c>
      <c r="I4" s="15" t="s">
        <v>17</v>
      </c>
      <c r="J4" s="15" t="s">
        <v>1</v>
      </c>
      <c r="K4" s="15" t="s">
        <v>86</v>
      </c>
      <c r="L4" s="1" t="s">
        <v>9</v>
      </c>
      <c r="M4" s="14" t="s">
        <v>29</v>
      </c>
      <c r="N4" s="21" t="s">
        <v>26</v>
      </c>
      <c r="O4" s="15" t="s">
        <v>27</v>
      </c>
      <c r="P4" s="32" t="s">
        <v>60</v>
      </c>
      <c r="Q4" s="23">
        <v>13.2</v>
      </c>
      <c r="R4" s="23">
        <v>1.5</v>
      </c>
      <c r="S4" s="23">
        <v>13.2</v>
      </c>
      <c r="T4" s="27"/>
      <c r="U4" s="1" t="s">
        <v>9</v>
      </c>
      <c r="V4" s="1" t="s">
        <v>9</v>
      </c>
      <c r="W4" s="1" t="s">
        <v>9</v>
      </c>
      <c r="X4" s="1" t="s">
        <v>9</v>
      </c>
    </row>
    <row r="5" spans="1:24" s="6" customFormat="1" ht="24.95" customHeight="1" x14ac:dyDescent="0.15">
      <c r="A5" s="12">
        <v>170</v>
      </c>
      <c r="B5" s="8" t="s">
        <v>11</v>
      </c>
      <c r="C5" s="7" t="s">
        <v>31</v>
      </c>
      <c r="D5" s="15" t="s">
        <v>32</v>
      </c>
      <c r="E5" s="1" t="s">
        <v>9</v>
      </c>
      <c r="F5" s="1" t="s">
        <v>9</v>
      </c>
      <c r="G5" s="1" t="s">
        <v>9</v>
      </c>
      <c r="H5" s="1" t="s">
        <v>9</v>
      </c>
      <c r="I5" s="13" t="s">
        <v>20</v>
      </c>
      <c r="J5" s="8" t="s">
        <v>5</v>
      </c>
      <c r="K5" s="17" t="s">
        <v>87</v>
      </c>
      <c r="L5" s="1" t="s">
        <v>9</v>
      </c>
      <c r="M5" s="17" t="s">
        <v>13</v>
      </c>
      <c r="N5" s="21" t="s">
        <v>14</v>
      </c>
      <c r="O5" s="8" t="s">
        <v>30</v>
      </c>
      <c r="P5" s="32" t="s">
        <v>46</v>
      </c>
      <c r="Q5" s="18">
        <v>9</v>
      </c>
      <c r="R5" s="18">
        <v>0</v>
      </c>
      <c r="S5" s="23">
        <v>9</v>
      </c>
      <c r="T5" s="27"/>
      <c r="U5" s="1" t="s">
        <v>9</v>
      </c>
      <c r="V5" s="1" t="s">
        <v>9</v>
      </c>
      <c r="W5" s="1" t="s">
        <v>9</v>
      </c>
      <c r="X5" s="1" t="s">
        <v>9</v>
      </c>
    </row>
    <row r="6" spans="1:24" s="6" customFormat="1" ht="24.95" customHeight="1" x14ac:dyDescent="0.15">
      <c r="A6" s="12">
        <v>171</v>
      </c>
      <c r="B6" s="8" t="s">
        <v>12</v>
      </c>
      <c r="C6" s="7" t="s">
        <v>31</v>
      </c>
      <c r="D6" s="12" t="s">
        <v>64</v>
      </c>
      <c r="E6" s="1" t="s">
        <v>9</v>
      </c>
      <c r="F6" s="1" t="s">
        <v>9</v>
      </c>
      <c r="G6" s="1" t="s">
        <v>9</v>
      </c>
      <c r="H6" s="1" t="s">
        <v>9</v>
      </c>
      <c r="I6" s="13" t="s">
        <v>20</v>
      </c>
      <c r="J6" s="8" t="s">
        <v>6</v>
      </c>
      <c r="K6" s="17" t="s">
        <v>88</v>
      </c>
      <c r="L6" s="1" t="s">
        <v>9</v>
      </c>
      <c r="M6" s="17" t="s">
        <v>13</v>
      </c>
      <c r="N6" s="21" t="s">
        <v>14</v>
      </c>
      <c r="O6" s="8" t="s">
        <v>30</v>
      </c>
      <c r="P6" s="32" t="s">
        <v>46</v>
      </c>
      <c r="Q6" s="18">
        <v>17</v>
      </c>
      <c r="R6" s="18">
        <v>0</v>
      </c>
      <c r="S6" s="23"/>
      <c r="T6" s="27"/>
      <c r="U6" s="1" t="s">
        <v>9</v>
      </c>
      <c r="V6" s="1" t="s">
        <v>9</v>
      </c>
      <c r="W6" s="1" t="s">
        <v>9</v>
      </c>
      <c r="X6" s="1" t="s">
        <v>9</v>
      </c>
    </row>
    <row r="7" spans="1:24" s="6" customFormat="1" ht="24.95" customHeight="1" x14ac:dyDescent="0.15">
      <c r="A7" s="12">
        <v>628</v>
      </c>
      <c r="B7" s="7" t="s">
        <v>71</v>
      </c>
      <c r="C7" s="1" t="s">
        <v>9</v>
      </c>
      <c r="D7" s="1" t="s">
        <v>9</v>
      </c>
      <c r="E7" s="1" t="s">
        <v>9</v>
      </c>
      <c r="F7" s="1" t="s">
        <v>9</v>
      </c>
      <c r="G7" s="1" t="s">
        <v>9</v>
      </c>
      <c r="H7" s="1" t="s">
        <v>74</v>
      </c>
      <c r="I7" s="1" t="s">
        <v>49</v>
      </c>
      <c r="J7" s="1" t="s">
        <v>59</v>
      </c>
      <c r="K7" s="1" t="s">
        <v>89</v>
      </c>
      <c r="L7" s="1" t="s">
        <v>45</v>
      </c>
      <c r="M7" s="1" t="s">
        <v>34</v>
      </c>
      <c r="N7" s="9" t="s">
        <v>63</v>
      </c>
      <c r="O7" s="1" t="s">
        <v>22</v>
      </c>
      <c r="P7" s="32" t="s">
        <v>9</v>
      </c>
      <c r="Q7" s="35">
        <v>0</v>
      </c>
      <c r="R7" s="35">
        <v>0.87</v>
      </c>
      <c r="S7" s="35"/>
      <c r="T7" s="27"/>
      <c r="U7" s="1" t="s">
        <v>70</v>
      </c>
      <c r="V7" s="1" t="s">
        <v>9</v>
      </c>
      <c r="W7" s="1" t="s">
        <v>80</v>
      </c>
      <c r="X7" s="1" t="s">
        <v>80</v>
      </c>
    </row>
    <row r="8" spans="1:24" s="6" customFormat="1" ht="24.95" customHeight="1" x14ac:dyDescent="0.15">
      <c r="A8" s="12">
        <v>628</v>
      </c>
      <c r="B8" s="7" t="s">
        <v>72</v>
      </c>
      <c r="C8" s="1" t="s">
        <v>9</v>
      </c>
      <c r="D8" s="1" t="s">
        <v>9</v>
      </c>
      <c r="E8" s="1" t="s">
        <v>9</v>
      </c>
      <c r="F8" s="1" t="s">
        <v>9</v>
      </c>
      <c r="G8" s="1" t="s">
        <v>9</v>
      </c>
      <c r="H8" s="1" t="s">
        <v>74</v>
      </c>
      <c r="I8" s="1" t="s">
        <v>49</v>
      </c>
      <c r="J8" s="1" t="s">
        <v>59</v>
      </c>
      <c r="K8" s="1" t="s">
        <v>90</v>
      </c>
      <c r="L8" s="1" t="s">
        <v>45</v>
      </c>
      <c r="M8" s="1" t="s">
        <v>34</v>
      </c>
      <c r="N8" s="9" t="s">
        <v>63</v>
      </c>
      <c r="O8" s="1" t="s">
        <v>22</v>
      </c>
      <c r="P8" s="32" t="s">
        <v>9</v>
      </c>
      <c r="Q8" s="35">
        <v>0</v>
      </c>
      <c r="R8" s="35">
        <v>0.87</v>
      </c>
      <c r="S8" s="35"/>
      <c r="T8" s="27"/>
      <c r="U8" s="1" t="s">
        <v>70</v>
      </c>
      <c r="V8" s="1" t="s">
        <v>9</v>
      </c>
      <c r="W8" s="1" t="s">
        <v>79</v>
      </c>
      <c r="X8" s="1" t="s">
        <v>79</v>
      </c>
    </row>
    <row r="9" spans="1:24" s="6" customFormat="1" ht="24.95" customHeight="1" x14ac:dyDescent="0.15">
      <c r="A9" s="12">
        <v>628</v>
      </c>
      <c r="B9" s="7" t="s">
        <v>73</v>
      </c>
      <c r="C9" s="1" t="s">
        <v>9</v>
      </c>
      <c r="D9" s="1" t="s">
        <v>9</v>
      </c>
      <c r="E9" s="1" t="s">
        <v>9</v>
      </c>
      <c r="F9" s="1" t="s">
        <v>9</v>
      </c>
      <c r="G9" s="1" t="s">
        <v>9</v>
      </c>
      <c r="H9" s="1" t="s">
        <v>74</v>
      </c>
      <c r="I9" s="1" t="s">
        <v>49</v>
      </c>
      <c r="J9" s="1" t="s">
        <v>59</v>
      </c>
      <c r="K9" s="1" t="s">
        <v>91</v>
      </c>
      <c r="L9" s="1" t="s">
        <v>45</v>
      </c>
      <c r="M9" s="1" t="s">
        <v>34</v>
      </c>
      <c r="N9" s="9" t="s">
        <v>63</v>
      </c>
      <c r="O9" s="1" t="s">
        <v>22</v>
      </c>
      <c r="P9" s="32" t="s">
        <v>9</v>
      </c>
      <c r="Q9" s="35">
        <v>0</v>
      </c>
      <c r="R9" s="35">
        <v>0.87</v>
      </c>
      <c r="S9" s="35"/>
      <c r="T9" s="27"/>
      <c r="U9" s="1" t="s">
        <v>70</v>
      </c>
      <c r="V9" s="1" t="s">
        <v>9</v>
      </c>
      <c r="W9" s="1" t="s">
        <v>79</v>
      </c>
      <c r="X9" s="1" t="s">
        <v>79</v>
      </c>
    </row>
    <row r="10" spans="1:24" s="6" customFormat="1" ht="24.95" customHeight="1" x14ac:dyDescent="0.15">
      <c r="A10" s="12">
        <v>628</v>
      </c>
      <c r="B10" s="7" t="s">
        <v>75</v>
      </c>
      <c r="C10" s="1" t="s">
        <v>9</v>
      </c>
      <c r="D10" s="37" t="s">
        <v>78</v>
      </c>
      <c r="E10" s="1" t="s">
        <v>9</v>
      </c>
      <c r="F10" s="1" t="s">
        <v>9</v>
      </c>
      <c r="G10" s="1" t="s">
        <v>9</v>
      </c>
      <c r="H10" s="1" t="s">
        <v>76</v>
      </c>
      <c r="I10" s="1" t="s">
        <v>44</v>
      </c>
      <c r="J10" s="1" t="s">
        <v>77</v>
      </c>
      <c r="K10" s="1" t="s">
        <v>92</v>
      </c>
      <c r="L10" s="1" t="s">
        <v>45</v>
      </c>
      <c r="M10" s="1" t="s">
        <v>34</v>
      </c>
      <c r="N10" s="9" t="s">
        <v>62</v>
      </c>
      <c r="O10" s="1" t="s">
        <v>61</v>
      </c>
      <c r="P10" s="32" t="s">
        <v>9</v>
      </c>
      <c r="Q10" s="36">
        <v>0</v>
      </c>
      <c r="R10" s="36">
        <v>0</v>
      </c>
      <c r="S10" s="36">
        <v>3</v>
      </c>
      <c r="T10" s="27"/>
      <c r="U10" s="1" t="s">
        <v>70</v>
      </c>
      <c r="V10" s="1" t="s">
        <v>9</v>
      </c>
      <c r="W10" s="1" t="s">
        <v>9</v>
      </c>
      <c r="X10" s="1" t="s">
        <v>9</v>
      </c>
    </row>
    <row r="11" spans="1:24" s="6" customFormat="1" ht="24.95" customHeight="1" x14ac:dyDescent="0.15">
      <c r="A11" s="12">
        <v>628</v>
      </c>
      <c r="B11" s="7" t="s">
        <v>81</v>
      </c>
      <c r="C11" s="7" t="s">
        <v>84</v>
      </c>
      <c r="D11" s="1" t="s">
        <v>9</v>
      </c>
      <c r="E11" s="1" t="s">
        <v>9</v>
      </c>
      <c r="F11" s="1" t="s">
        <v>9</v>
      </c>
      <c r="G11" s="1" t="s">
        <v>9</v>
      </c>
      <c r="H11" s="1" t="s">
        <v>82</v>
      </c>
      <c r="I11" s="1" t="s">
        <v>33</v>
      </c>
      <c r="J11" s="1" t="s">
        <v>43</v>
      </c>
      <c r="K11" s="1" t="s">
        <v>93</v>
      </c>
      <c r="L11" s="1" t="s">
        <v>45</v>
      </c>
      <c r="M11" s="1" t="s">
        <v>34</v>
      </c>
      <c r="N11" s="9" t="s">
        <v>83</v>
      </c>
      <c r="O11" s="1" t="s">
        <v>21</v>
      </c>
      <c r="P11" s="32" t="s">
        <v>9</v>
      </c>
      <c r="Q11" s="38">
        <v>11.1</v>
      </c>
      <c r="R11" s="38">
        <v>4</v>
      </c>
      <c r="S11" s="38"/>
      <c r="T11" s="27"/>
      <c r="U11" s="1" t="s">
        <v>70</v>
      </c>
      <c r="V11" s="1" t="s">
        <v>9</v>
      </c>
      <c r="W11" s="1"/>
      <c r="X11" s="1"/>
    </row>
    <row r="12" spans="1:24" s="6" customFormat="1" ht="24.95" customHeight="1" x14ac:dyDescent="0.15">
      <c r="A12" s="12">
        <v>628</v>
      </c>
      <c r="B12" s="7"/>
      <c r="C12" s="7"/>
      <c r="D12" s="7"/>
      <c r="E12" s="1"/>
      <c r="F12" s="1"/>
      <c r="G12" s="1"/>
      <c r="H12" s="1"/>
      <c r="I12" s="1"/>
      <c r="J12" s="1"/>
      <c r="K12" s="1"/>
      <c r="L12" s="1"/>
      <c r="M12" s="1"/>
      <c r="N12" s="9"/>
      <c r="O12" s="1"/>
      <c r="P12" s="32"/>
      <c r="Q12" s="38"/>
      <c r="R12" s="38"/>
      <c r="S12" s="38"/>
      <c r="T12" s="27"/>
      <c r="U12" s="1"/>
      <c r="V12" s="1"/>
      <c r="W12" s="1"/>
      <c r="X12" s="1"/>
    </row>
    <row r="13" spans="1:24" s="6" customFormat="1" ht="24.95" customHeight="1" x14ac:dyDescent="0.15">
      <c r="A13" s="12">
        <v>628</v>
      </c>
      <c r="B13" s="7"/>
      <c r="C13" s="7"/>
      <c r="D13" s="7"/>
      <c r="E13" s="1"/>
      <c r="F13" s="1"/>
      <c r="G13" s="1"/>
      <c r="H13" s="1"/>
      <c r="I13" s="1"/>
      <c r="J13" s="1"/>
      <c r="K13" s="1"/>
      <c r="L13" s="1"/>
      <c r="M13" s="1"/>
      <c r="N13" s="9"/>
      <c r="O13" s="1"/>
      <c r="P13" s="32"/>
      <c r="Q13" s="38"/>
      <c r="R13" s="38"/>
      <c r="S13" s="38"/>
      <c r="T13" s="27"/>
      <c r="U13" s="1"/>
      <c r="V13" s="1"/>
      <c r="W13" s="1"/>
      <c r="X13" s="1"/>
    </row>
    <row r="14" spans="1:24" s="6" customFormat="1" ht="24.95" customHeight="1" x14ac:dyDescent="0.15">
      <c r="A14" s="12">
        <v>628</v>
      </c>
      <c r="B14" s="7"/>
      <c r="C14" s="7"/>
      <c r="D14" s="7"/>
      <c r="E14" s="1"/>
      <c r="F14" s="1"/>
      <c r="G14" s="1"/>
      <c r="H14" s="1"/>
      <c r="I14" s="1"/>
      <c r="J14" s="1"/>
      <c r="K14" s="1"/>
      <c r="L14" s="1"/>
      <c r="M14" s="1"/>
      <c r="N14" s="9"/>
      <c r="O14" s="1"/>
      <c r="P14" s="32"/>
      <c r="Q14" s="31"/>
      <c r="R14" s="31"/>
      <c r="S14" s="31"/>
      <c r="T14" s="27"/>
      <c r="U14" s="1"/>
      <c r="V14" s="1"/>
      <c r="W14" s="1"/>
      <c r="X14" s="1"/>
    </row>
    <row r="15" spans="1:24" s="6" customFormat="1" ht="24.95" customHeight="1" x14ac:dyDescent="0.15">
      <c r="A15" s="12">
        <v>629</v>
      </c>
      <c r="B15" s="7"/>
      <c r="C15" s="7"/>
      <c r="D15" s="7"/>
      <c r="E15" s="1"/>
      <c r="F15" s="1"/>
      <c r="G15" s="1"/>
      <c r="H15" s="1"/>
      <c r="I15" s="1"/>
      <c r="J15" s="1"/>
      <c r="K15" s="1"/>
      <c r="L15" s="1"/>
      <c r="M15" s="1"/>
      <c r="N15" s="9"/>
      <c r="O15" s="1"/>
      <c r="P15" s="32"/>
      <c r="Q15" s="30"/>
      <c r="R15" s="30"/>
      <c r="S15" s="30"/>
      <c r="T15" s="27"/>
      <c r="U15" s="1"/>
      <c r="V15" s="1"/>
      <c r="W15" s="1"/>
      <c r="X15" s="1"/>
    </row>
    <row r="16" spans="1:24" s="20" customFormat="1" ht="24.95" customHeight="1" x14ac:dyDescent="0.15">
      <c r="A16" s="12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22"/>
      <c r="O16" s="19"/>
      <c r="P16" s="33" t="s">
        <v>35</v>
      </c>
      <c r="Q16" s="24">
        <f>SUM(Q3:Q6)</f>
        <v>49.2</v>
      </c>
      <c r="R16" s="24">
        <f>SUM(R3:R6)</f>
        <v>1.6</v>
      </c>
      <c r="S16" s="24">
        <f>SUM(S3:S6)</f>
        <v>22.2</v>
      </c>
      <c r="T16" s="28"/>
      <c r="U16" s="19"/>
      <c r="V16" s="19"/>
      <c r="W16" s="19"/>
      <c r="X16" s="19"/>
    </row>
  </sheetData>
  <autoFilter ref="A2:X16" xr:uid="{1B9D7643-DD58-4A0F-A6ED-096C3D9E67AA}"/>
  <sortState xmlns:xlrd2="http://schemas.microsoft.com/office/spreadsheetml/2017/richdata2" ref="A2:M4">
    <sortCondition ref="B1"/>
  </sortState>
  <mergeCells count="1">
    <mergeCell ref="A1:T1"/>
  </mergeCells>
  <phoneticPr fontId="1" type="noConversion"/>
  <pageMargins left="0.7" right="0.7" top="0.75" bottom="0.75" header="0.3" footer="0.3"/>
  <pageSetup paperSize="9" orientation="portrait" horizontalDpi="200" verticalDpi="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K23"/>
    </sheetView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2026-04-03T08:39:50Z</dcterms:modified>
</cp:coreProperties>
</file>