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 defaultThemeVersion="124226"/>
  <xr:revisionPtr revIDLastSave="0" documentId="13_ncr:1_{D5226041-6DEE-4424-B33D-4DAFF7294A3F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数值天气预报服务台账" sheetId="2" r:id="rId1"/>
    <sheet name="其他信息" sheetId="3" r:id="rId2"/>
  </sheets>
  <definedNames>
    <definedName name="_xlnm._FilterDatabase" localSheetId="0" hidden="1">数值天气预报服务台账!$A$3:$O$30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5" i="2" l="1"/>
  <c r="A6" i="2"/>
  <c r="A7" i="2"/>
  <c r="A8" i="2"/>
  <c r="A9" i="2"/>
  <c r="A28" i="2" l="1"/>
  <c r="A27" i="2" l="1"/>
  <c r="I11" i="3" l="1"/>
  <c r="K30" i="2" l="1"/>
  <c r="M14" i="2"/>
  <c r="K14" i="2"/>
  <c r="M30" i="2" l="1"/>
  <c r="M25" i="2" l="1"/>
  <c r="K25" i="2"/>
  <c r="K10" i="2"/>
  <c r="M10" i="2"/>
  <c r="M21" i="2" s="1"/>
  <c r="M34" i="2" l="1"/>
  <c r="K21" i="2"/>
  <c r="K34" i="2" s="1"/>
</calcChain>
</file>

<file path=xl/sharedStrings.xml><?xml version="1.0" encoding="utf-8"?>
<sst xmlns="http://schemas.openxmlformats.org/spreadsheetml/2006/main" count="213" uniqueCount="109">
  <si>
    <t>2011.2.12</t>
  </si>
  <si>
    <t>序号</t>
    <phoneticPr fontId="2" type="noConversion"/>
  </si>
  <si>
    <t>销售经理</t>
    <phoneticPr fontId="2" type="noConversion"/>
  </si>
  <si>
    <t>集团</t>
    <phoneticPr fontId="2" type="noConversion"/>
  </si>
  <si>
    <t>超期时间（月）</t>
    <phoneticPr fontId="2" type="noConversion"/>
  </si>
  <si>
    <t>黑龙江</t>
    <phoneticPr fontId="2" type="noConversion"/>
  </si>
  <si>
    <t>是</t>
    <phoneticPr fontId="2" type="noConversion"/>
  </si>
  <si>
    <t>否</t>
    <phoneticPr fontId="2" type="noConversion"/>
  </si>
  <si>
    <t>华电</t>
    <phoneticPr fontId="2" type="noConversion"/>
  </si>
  <si>
    <t>黑龙江</t>
  </si>
  <si>
    <t>李妍</t>
    <phoneticPr fontId="2" type="noConversion"/>
  </si>
  <si>
    <t>/</t>
    <phoneticPr fontId="2" type="noConversion"/>
  </si>
  <si>
    <t>三峡新能源</t>
    <phoneticPr fontId="2" type="noConversion"/>
  </si>
  <si>
    <t>吉林</t>
    <phoneticPr fontId="2" type="noConversion"/>
  </si>
  <si>
    <t>/</t>
    <phoneticPr fontId="2" type="noConversion"/>
  </si>
  <si>
    <t>辽宁</t>
    <phoneticPr fontId="2" type="noConversion"/>
  </si>
  <si>
    <t>王龙波</t>
    <phoneticPr fontId="2" type="noConversion"/>
  </si>
  <si>
    <t>大唐</t>
    <phoneticPr fontId="2" type="noConversion"/>
  </si>
  <si>
    <t>新疆</t>
    <phoneticPr fontId="2" type="noConversion"/>
  </si>
  <si>
    <t>国电投</t>
    <phoneticPr fontId="2" type="noConversion"/>
  </si>
  <si>
    <t>湖南</t>
    <phoneticPr fontId="2" type="noConversion"/>
  </si>
  <si>
    <t>湖北</t>
    <phoneticPr fontId="2" type="noConversion"/>
  </si>
  <si>
    <t>2015.11.6</t>
    <phoneticPr fontId="2" type="noConversion"/>
  </si>
  <si>
    <t>未开始</t>
    <phoneticPr fontId="2" type="noConversion"/>
  </si>
  <si>
    <t>湖北</t>
    <phoneticPr fontId="2" type="noConversion"/>
  </si>
  <si>
    <t>中节能</t>
    <phoneticPr fontId="2" type="noConversion"/>
  </si>
  <si>
    <t>风电场</t>
  </si>
  <si>
    <t>场站类别</t>
    <phoneticPr fontId="2" type="noConversion"/>
  </si>
  <si>
    <t>已签订合同已订购中尺度数据项目</t>
    <phoneticPr fontId="2" type="noConversion"/>
  </si>
  <si>
    <t>已签订合同未订购中尺度数据项目</t>
    <phoneticPr fontId="2" type="noConversion"/>
  </si>
  <si>
    <t>已签订合同未预报项目</t>
    <phoneticPr fontId="2" type="noConversion"/>
  </si>
  <si>
    <t>数值天气预报服务台账</t>
    <phoneticPr fontId="2" type="noConversion"/>
  </si>
  <si>
    <t>马梦迪</t>
    <phoneticPr fontId="2" type="noConversion"/>
  </si>
  <si>
    <t>合计</t>
    <phoneticPr fontId="2" type="noConversion"/>
  </si>
  <si>
    <t>场站名称</t>
    <phoneticPr fontId="2" type="noConversion"/>
  </si>
  <si>
    <t>省（区）</t>
    <phoneticPr fontId="2" type="noConversion"/>
  </si>
  <si>
    <t>是否超期
（是/否）</t>
    <phoneticPr fontId="2" type="noConversion"/>
  </si>
  <si>
    <t>续签前
服务到期时间</t>
    <phoneticPr fontId="2" type="noConversion"/>
  </si>
  <si>
    <t>续签后
服务开始时间</t>
    <phoneticPr fontId="2" type="noConversion"/>
  </si>
  <si>
    <t>中断期间服务费如何处理</t>
    <phoneticPr fontId="2" type="noConversion"/>
  </si>
  <si>
    <t>备注</t>
    <phoneticPr fontId="2" type="noConversion"/>
  </si>
  <si>
    <t>记录日期</t>
    <phoneticPr fontId="2" type="noConversion"/>
  </si>
  <si>
    <t>开始预报时间</t>
    <phoneticPr fontId="2" type="noConversion"/>
  </si>
  <si>
    <t>风电场</t>
    <phoneticPr fontId="2" type="noConversion"/>
  </si>
  <si>
    <t>预测服务1年</t>
    <phoneticPr fontId="2" type="noConversion"/>
  </si>
  <si>
    <t>王星</t>
    <phoneticPr fontId="2" type="noConversion"/>
  </si>
  <si>
    <t>段洪宇</t>
    <phoneticPr fontId="2" type="noConversion"/>
  </si>
  <si>
    <t>建模扩容</t>
    <phoneticPr fontId="2" type="noConversion"/>
  </si>
  <si>
    <t>预计签订服务合同
金额（万元）</t>
    <phoneticPr fontId="2" type="noConversion"/>
  </si>
  <si>
    <t>已申请开工项目（包括已预报和未预报）</t>
    <phoneticPr fontId="2" type="noConversion"/>
  </si>
  <si>
    <t>已停止预测服务项目（包括已预报和未预报）</t>
    <phoneticPr fontId="2" type="noConversion"/>
  </si>
  <si>
    <t>小计</t>
    <phoneticPr fontId="2" type="noConversion"/>
  </si>
  <si>
    <t>（可回最大值）</t>
    <phoneticPr fontId="2" type="noConversion"/>
  </si>
  <si>
    <t>中断时间
（月）</t>
    <phoneticPr fontId="2" type="noConversion"/>
  </si>
  <si>
    <t>正式预报时间</t>
    <phoneticPr fontId="2" type="noConversion"/>
  </si>
  <si>
    <t>服务合同到期时间</t>
    <phoneticPr fontId="2" type="noConversion"/>
  </si>
  <si>
    <t>续签服务合同情况说明</t>
    <phoneticPr fontId="2" type="noConversion"/>
  </si>
  <si>
    <t>销售经理</t>
    <phoneticPr fontId="2" type="noConversion"/>
  </si>
  <si>
    <t>签订合同
销售经理</t>
    <phoneticPr fontId="2" type="noConversion"/>
  </si>
  <si>
    <t>韩志宇</t>
    <phoneticPr fontId="2" type="noConversion"/>
  </si>
  <si>
    <t>预计签订服务合同时间</t>
    <phoneticPr fontId="2" type="noConversion"/>
  </si>
  <si>
    <t>预测服务2年</t>
    <phoneticPr fontId="2" type="noConversion"/>
  </si>
  <si>
    <t>2019.1.5</t>
    <phoneticPr fontId="2" type="noConversion"/>
  </si>
  <si>
    <r>
      <t>2</t>
    </r>
    <r>
      <rPr>
        <sz val="11"/>
        <color indexed="8"/>
        <rFont val="宋体"/>
        <family val="3"/>
        <charset val="134"/>
      </rPr>
      <t>020.9.21</t>
    </r>
    <phoneticPr fontId="2" type="noConversion"/>
  </si>
  <si>
    <r>
      <t>2</t>
    </r>
    <r>
      <rPr>
        <sz val="11"/>
        <color indexed="8"/>
        <rFont val="宋体"/>
        <family val="3"/>
        <charset val="134"/>
      </rPr>
      <t>022.9.20</t>
    </r>
    <phoneticPr fontId="2" type="noConversion"/>
  </si>
  <si>
    <t>2011.6.30</t>
    <phoneticPr fontId="2" type="noConversion"/>
  </si>
  <si>
    <t>2022.10.18停止</t>
    <phoneticPr fontId="2" type="noConversion"/>
  </si>
  <si>
    <r>
      <t>2</t>
    </r>
    <r>
      <rPr>
        <sz val="11"/>
        <rFont val="宋体"/>
        <family val="3"/>
        <charset val="134"/>
      </rPr>
      <t>025.12.31</t>
    </r>
    <phoneticPr fontId="2" type="noConversion"/>
  </si>
  <si>
    <t>合同号20167</t>
    <phoneticPr fontId="2" type="noConversion"/>
  </si>
  <si>
    <t>建模扩容</t>
    <phoneticPr fontId="4" type="noConversion"/>
  </si>
  <si>
    <t>黑龙江</t>
    <phoneticPr fontId="13" type="noConversion"/>
  </si>
  <si>
    <t>华能</t>
    <phoneticPr fontId="13" type="noConversion"/>
  </si>
  <si>
    <t>2023.9.15</t>
    <phoneticPr fontId="2" type="noConversion"/>
  </si>
  <si>
    <t>华能</t>
  </si>
  <si>
    <t>大唐</t>
    <phoneticPr fontId="13" type="noConversion"/>
  </si>
  <si>
    <t>2024.11.28</t>
    <phoneticPr fontId="2" type="noConversion"/>
  </si>
  <si>
    <t>2025.12.31</t>
    <phoneticPr fontId="2" type="noConversion"/>
  </si>
  <si>
    <r>
      <t>2</t>
    </r>
    <r>
      <rPr>
        <sz val="11"/>
        <rFont val="宋体"/>
        <family val="3"/>
        <charset val="134"/>
      </rPr>
      <t>028.2.23</t>
    </r>
    <phoneticPr fontId="2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</si>
  <si>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025年9月30日前回合同</t>
    </r>
    <phoneticPr fontId="2" type="noConversion"/>
  </si>
  <si>
    <t>2026.11.25</t>
    <phoneticPr fontId="2" type="noConversion"/>
  </si>
  <si>
    <t>2025.12.30日起停止预测</t>
    <phoneticPr fontId="2" type="noConversion"/>
  </si>
  <si>
    <r>
      <t>20</t>
    </r>
    <r>
      <rPr>
        <sz val="11"/>
        <color indexed="8"/>
        <rFont val="宋体"/>
        <family val="3"/>
        <charset val="134"/>
      </rPr>
      <t>25.12.31</t>
    </r>
    <phoneticPr fontId="2" type="noConversion"/>
  </si>
  <si>
    <t>2026.9.14</t>
    <phoneticPr fontId="2" type="noConversion"/>
  </si>
  <si>
    <t>2026.2.10停止预测</t>
    <phoneticPr fontId="2" type="noConversion"/>
  </si>
  <si>
    <t>2025.12.20</t>
  </si>
  <si>
    <r>
      <t>更新时间：2026.</t>
    </r>
    <r>
      <rPr>
        <sz val="11"/>
        <color indexed="10"/>
        <rFont val="宋体"/>
        <family val="3"/>
        <charset val="134"/>
      </rPr>
      <t>02.28，预测服务超期，提前三个月提醒</t>
    </r>
    <phoneticPr fontId="2" type="noConversion"/>
  </si>
  <si>
    <t>2026.2.28</t>
    <phoneticPr fontId="2" type="noConversion"/>
  </si>
  <si>
    <t>2026.2.1</t>
  </si>
  <si>
    <t>2026.1.1</t>
  </si>
  <si>
    <t>2025.6.18</t>
  </si>
  <si>
    <t>三峡新能源</t>
  </si>
  <si>
    <t>2022.12.22</t>
  </si>
  <si>
    <t>2026.2.6</t>
  </si>
  <si>
    <t>2025.6.17</t>
  </si>
  <si>
    <t>河北</t>
  </si>
  <si>
    <t>河北建投</t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</si>
  <si>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</si>
  <si>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</si>
  <si>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</si>
  <si>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</si>
  <si>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E</t>
    <phoneticPr fontId="2" type="noConversion"/>
  </si>
  <si>
    <t>F</t>
    <phoneticPr fontId="2" type="noConversion"/>
  </si>
  <si>
    <t>F</t>
    <phoneticPr fontId="13" type="noConversion"/>
  </si>
  <si>
    <t>J</t>
    <phoneticPr fontId="13" type="noConversion"/>
  </si>
  <si>
    <t>H</t>
    <phoneticPr fontId="2" type="noConversion"/>
  </si>
  <si>
    <t>I</t>
    <phoneticPr fontId="13" type="noConversion"/>
  </si>
  <si>
    <t>J</t>
    <phoneticPr fontId="2" type="noConversion"/>
  </si>
  <si>
    <t>K</t>
    <phoneticPr fontId="2" type="noConversion"/>
  </si>
  <si>
    <t>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</si>
</sst>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8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57" fontId="9" fillId="0" borderId="2" xfId="0" applyNumberFormat="1" applyFont="1" applyBorder="1" applyAlignment="1">
      <alignment horizontal="center" vertical="center"/>
    </xf>
    <xf numFmtId="57" fontId="9" fillId="0" borderId="0" xfId="0" applyNumberFormat="1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7">
    <cellStyle name="常规" xfId="0" builtinId="0"/>
    <cellStyle name="常规 2" xfId="1" xr:uid="{00000000-0005-0000-0000-000001000000}"/>
    <cellStyle name="常规 2 2" xfId="2" xr:uid="{00000000-0005-0000-0000-000002000000}"/>
    <cellStyle name="常规 2 2 2" xfId="3" xr:uid="{00000000-0005-0000-0000-000003000000}"/>
    <cellStyle name="常规 2 3" xfId="4" xr:uid="{00000000-0005-0000-0000-000004000000}"/>
    <cellStyle name="常规 3" xfId="5" xr:uid="{00000000-0005-0000-0000-000005000000}"/>
    <cellStyle name="常规 4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5"/>
  <sheetViews>
    <sheetView tabSelected="1" zoomScale="90" zoomScaleNormal="90" workbookViewId="0">
      <pane ySplit="3" topLeftCell="A4" activePane="bottomLeft" state="frozen"/>
      <selection pane="bottomLeft" activeCell="F19" sqref="F19"/>
    </sheetView>
  </sheetViews>
  <sheetFormatPr defaultRowHeight="20.100000000000001" customHeight="1" x14ac:dyDescent="0.15"/>
  <cols>
    <col min="1" max="1" width="7.625" style="13" customWidth="1"/>
    <col min="2" max="2" width="10.875" style="13" customWidth="1"/>
    <col min="3" max="4" width="10.125" style="13" customWidth="1"/>
    <col min="5" max="5" width="12.375" style="13" customWidth="1"/>
    <col min="6" max="6" width="48.125" style="13" customWidth="1"/>
    <col min="7" max="7" width="16.375" style="13" customWidth="1"/>
    <col min="8" max="8" width="15" style="13" customWidth="1"/>
    <col min="9" max="9" width="17.375" style="13" customWidth="1"/>
    <col min="10" max="10" width="26.25" style="13" customWidth="1"/>
    <col min="11" max="11" width="10.5" style="13" customWidth="1"/>
    <col min="12" max="12" width="11.5" style="14" customWidth="1"/>
    <col min="13" max="14" width="16.5" style="14" customWidth="1"/>
    <col min="15" max="15" width="52.125" style="50" customWidth="1"/>
    <col min="16" max="16" width="15.375" style="13" customWidth="1"/>
    <col min="17" max="16384" width="9" style="13"/>
  </cols>
  <sheetData>
    <row r="1" spans="1:23" ht="30" customHeight="1" x14ac:dyDescent="0.15">
      <c r="A1" s="86" t="s">
        <v>31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</row>
    <row r="2" spans="1:23" ht="20.100000000000001" customHeight="1" x14ac:dyDescent="0.15">
      <c r="M2" s="15"/>
      <c r="N2" s="16"/>
      <c r="O2" s="79" t="s">
        <v>85</v>
      </c>
    </row>
    <row r="3" spans="1:23" ht="35.25" customHeight="1" x14ac:dyDescent="0.15">
      <c r="A3" s="17" t="s">
        <v>1</v>
      </c>
      <c r="B3" s="18" t="s">
        <v>58</v>
      </c>
      <c r="C3" s="17" t="s">
        <v>57</v>
      </c>
      <c r="D3" s="17" t="s">
        <v>35</v>
      </c>
      <c r="E3" s="17" t="s">
        <v>3</v>
      </c>
      <c r="F3" s="17" t="s">
        <v>34</v>
      </c>
      <c r="G3" s="17" t="s">
        <v>27</v>
      </c>
      <c r="H3" s="19" t="s">
        <v>42</v>
      </c>
      <c r="I3" s="20" t="s">
        <v>54</v>
      </c>
      <c r="J3" s="18" t="s">
        <v>55</v>
      </c>
      <c r="K3" s="18" t="s">
        <v>4</v>
      </c>
      <c r="L3" s="18" t="s">
        <v>36</v>
      </c>
      <c r="M3" s="18" t="s">
        <v>48</v>
      </c>
      <c r="N3" s="18" t="s">
        <v>60</v>
      </c>
      <c r="O3" s="18" t="s">
        <v>56</v>
      </c>
    </row>
    <row r="4" spans="1:23" s="21" customFormat="1" ht="20.100000000000001" customHeight="1" x14ac:dyDescent="0.15">
      <c r="A4" s="85" t="s">
        <v>28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</row>
    <row r="5" spans="1:23" s="30" customFormat="1" ht="20.100000000000001" customHeight="1" x14ac:dyDescent="0.15">
      <c r="A5" s="74">
        <f t="shared" ref="A5:A7" si="0">ROW()-4</f>
        <v>1</v>
      </c>
      <c r="B5" s="77" t="s">
        <v>46</v>
      </c>
      <c r="C5" s="77" t="s">
        <v>32</v>
      </c>
      <c r="D5" s="75" t="s">
        <v>9</v>
      </c>
      <c r="E5" s="75" t="s">
        <v>73</v>
      </c>
      <c r="F5" s="77" t="s">
        <v>96</v>
      </c>
      <c r="G5" s="69" t="s">
        <v>43</v>
      </c>
      <c r="H5" s="67" t="s">
        <v>11</v>
      </c>
      <c r="I5" s="80" t="s">
        <v>75</v>
      </c>
      <c r="J5" s="78" t="s">
        <v>79</v>
      </c>
      <c r="K5" s="75"/>
      <c r="L5" s="70" t="s">
        <v>7</v>
      </c>
      <c r="M5" s="75"/>
      <c r="N5" s="36"/>
      <c r="O5" s="75"/>
      <c r="P5" s="37"/>
      <c r="Q5" s="37"/>
      <c r="R5" s="37"/>
      <c r="S5" s="37"/>
      <c r="T5" s="37"/>
      <c r="U5" s="37"/>
      <c r="V5" s="37"/>
      <c r="W5" s="37"/>
    </row>
    <row r="6" spans="1:23" ht="21.95" customHeight="1" x14ac:dyDescent="0.15">
      <c r="A6" s="74">
        <f t="shared" si="0"/>
        <v>2</v>
      </c>
      <c r="B6" s="22" t="s">
        <v>59</v>
      </c>
      <c r="C6" s="22" t="s">
        <v>59</v>
      </c>
      <c r="D6" s="31" t="s">
        <v>5</v>
      </c>
      <c r="E6" s="23" t="s">
        <v>8</v>
      </c>
      <c r="F6" s="32" t="s">
        <v>97</v>
      </c>
      <c r="G6" s="24" t="s">
        <v>26</v>
      </c>
      <c r="H6" s="53" t="s">
        <v>11</v>
      </c>
      <c r="I6" s="54" t="s">
        <v>0</v>
      </c>
      <c r="J6" s="82" t="s">
        <v>76</v>
      </c>
      <c r="K6" s="68">
        <v>3</v>
      </c>
      <c r="L6" s="34" t="s">
        <v>6</v>
      </c>
      <c r="M6" s="72">
        <v>9</v>
      </c>
      <c r="N6" s="35"/>
      <c r="O6" s="83" t="s">
        <v>78</v>
      </c>
    </row>
    <row r="7" spans="1:23" s="30" customFormat="1" ht="20.100000000000001" customHeight="1" x14ac:dyDescent="0.15">
      <c r="A7" s="74">
        <f t="shared" si="0"/>
        <v>3</v>
      </c>
      <c r="B7" s="76" t="s">
        <v>59</v>
      </c>
      <c r="C7" s="76" t="s">
        <v>59</v>
      </c>
      <c r="D7" s="75" t="s">
        <v>5</v>
      </c>
      <c r="E7" s="75" t="s">
        <v>8</v>
      </c>
      <c r="F7" s="77" t="s">
        <v>98</v>
      </c>
      <c r="G7" s="69" t="s">
        <v>43</v>
      </c>
      <c r="H7" s="67" t="s">
        <v>11</v>
      </c>
      <c r="I7" s="80" t="s">
        <v>72</v>
      </c>
      <c r="J7" s="78" t="s">
        <v>82</v>
      </c>
      <c r="K7" s="75"/>
      <c r="L7" s="70" t="s">
        <v>7</v>
      </c>
      <c r="M7" s="75"/>
      <c r="N7" s="36"/>
      <c r="O7" s="75"/>
      <c r="P7" s="37"/>
      <c r="Q7" s="37"/>
      <c r="R7" s="37"/>
      <c r="S7" s="37"/>
      <c r="T7" s="37"/>
      <c r="U7" s="37"/>
      <c r="V7" s="37"/>
      <c r="W7" s="37"/>
    </row>
    <row r="8" spans="1:23" ht="21.95" customHeight="1" x14ac:dyDescent="0.15">
      <c r="A8" s="74">
        <f t="shared" ref="A8:A9" si="1">ROW()-4</f>
        <v>4</v>
      </c>
      <c r="B8" s="55" t="s">
        <v>46</v>
      </c>
      <c r="C8" s="55" t="s">
        <v>46</v>
      </c>
      <c r="D8" s="22" t="s">
        <v>21</v>
      </c>
      <c r="E8" s="75" t="s">
        <v>19</v>
      </c>
      <c r="F8" s="84" t="s">
        <v>99</v>
      </c>
      <c r="G8" s="24" t="s">
        <v>26</v>
      </c>
      <c r="H8" s="53" t="s">
        <v>14</v>
      </c>
      <c r="I8" s="53" t="s">
        <v>22</v>
      </c>
      <c r="J8" s="39" t="s">
        <v>67</v>
      </c>
      <c r="K8" s="68">
        <v>3</v>
      </c>
      <c r="L8" s="34" t="s">
        <v>6</v>
      </c>
      <c r="M8" s="71">
        <v>8</v>
      </c>
      <c r="N8" s="28"/>
      <c r="O8" s="83" t="s">
        <v>68</v>
      </c>
    </row>
    <row r="9" spans="1:23" s="30" customFormat="1" ht="21.95" customHeight="1" x14ac:dyDescent="0.15">
      <c r="A9" s="74">
        <f t="shared" si="1"/>
        <v>5</v>
      </c>
      <c r="B9" s="57" t="s">
        <v>46</v>
      </c>
      <c r="C9" s="57" t="s">
        <v>46</v>
      </c>
      <c r="D9" s="62" t="s">
        <v>24</v>
      </c>
      <c r="E9" s="62" t="s">
        <v>19</v>
      </c>
      <c r="F9" s="77" t="s">
        <v>100</v>
      </c>
      <c r="G9" s="56" t="s">
        <v>26</v>
      </c>
      <c r="H9" s="67" t="s">
        <v>11</v>
      </c>
      <c r="I9" s="80" t="s">
        <v>22</v>
      </c>
      <c r="J9" s="66" t="s">
        <v>11</v>
      </c>
      <c r="K9" s="66" t="s">
        <v>11</v>
      </c>
      <c r="L9" s="34"/>
      <c r="M9" s="75"/>
      <c r="N9" s="36"/>
      <c r="O9" s="78" t="s">
        <v>69</v>
      </c>
      <c r="P9" s="37"/>
      <c r="Q9" s="37"/>
      <c r="R9" s="37"/>
      <c r="S9" s="37"/>
      <c r="T9" s="37"/>
      <c r="U9" s="37"/>
      <c r="V9" s="37"/>
      <c r="W9" s="37"/>
    </row>
    <row r="10" spans="1:23" s="42" customFormat="1" ht="20.100000000000001" customHeight="1" x14ac:dyDescent="0.15">
      <c r="A10" s="40"/>
      <c r="B10" s="40"/>
      <c r="C10" s="40"/>
      <c r="D10" s="40"/>
      <c r="E10" s="40"/>
      <c r="F10" s="41"/>
      <c r="H10" s="41"/>
      <c r="I10" s="41"/>
      <c r="J10" s="43" t="s">
        <v>51</v>
      </c>
      <c r="K10" s="40">
        <f>SUM(K5:K9)</f>
        <v>6</v>
      </c>
      <c r="M10" s="43">
        <f>SUM(M5:M9)</f>
        <v>17</v>
      </c>
      <c r="N10" s="44"/>
      <c r="O10" s="45"/>
    </row>
    <row r="11" spans="1:23" ht="20.100000000000001" customHeight="1" x14ac:dyDescent="0.15">
      <c r="A11" s="85" t="s">
        <v>29</v>
      </c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</row>
    <row r="12" spans="1:23" ht="20.100000000000001" customHeight="1" x14ac:dyDescent="0.15">
      <c r="A12" s="65">
        <v>1</v>
      </c>
      <c r="B12" s="81"/>
      <c r="C12" s="63"/>
      <c r="D12" s="62"/>
      <c r="E12" s="62"/>
      <c r="F12" s="62"/>
      <c r="G12" s="56"/>
      <c r="H12" s="60"/>
      <c r="I12" s="60"/>
      <c r="J12" s="61"/>
      <c r="K12" s="26"/>
      <c r="L12" s="58"/>
      <c r="M12" s="58"/>
      <c r="N12" s="35"/>
      <c r="O12" s="64"/>
    </row>
    <row r="13" spans="1:23" s="30" customFormat="1" ht="20.100000000000001" customHeight="1" x14ac:dyDescent="0.15">
      <c r="A13" s="65">
        <v>2</v>
      </c>
      <c r="B13" s="63"/>
      <c r="C13" s="63"/>
      <c r="D13" s="62"/>
      <c r="E13" s="62"/>
      <c r="F13" s="62"/>
      <c r="G13" s="56"/>
      <c r="H13" s="60"/>
      <c r="I13" s="60"/>
      <c r="J13" s="59"/>
      <c r="K13" s="29"/>
      <c r="L13" s="58"/>
      <c r="M13" s="62"/>
      <c r="N13" s="36"/>
      <c r="O13" s="64"/>
    </row>
    <row r="14" spans="1:23" s="46" customFormat="1" ht="20.100000000000001" customHeight="1" x14ac:dyDescent="0.15">
      <c r="A14" s="41"/>
      <c r="B14" s="41"/>
      <c r="C14" s="41"/>
      <c r="D14" s="41"/>
      <c r="E14" s="41"/>
      <c r="F14" s="41"/>
      <c r="H14" s="41"/>
      <c r="I14" s="41"/>
      <c r="J14" s="43" t="s">
        <v>51</v>
      </c>
      <c r="K14" s="41">
        <f>SUM(K12:K13)</f>
        <v>0</v>
      </c>
      <c r="L14" s="47"/>
      <c r="M14" s="47">
        <f>SUM(M12:M13)</f>
        <v>0</v>
      </c>
      <c r="N14" s="44"/>
      <c r="O14" s="48"/>
      <c r="P14" s="13"/>
      <c r="Q14" s="13"/>
    </row>
    <row r="15" spans="1:23" ht="20.100000000000001" customHeight="1" x14ac:dyDescent="0.15">
      <c r="A15" s="85" t="s">
        <v>30</v>
      </c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</row>
    <row r="16" spans="1:23" s="30" customFormat="1" ht="20.100000000000001" customHeight="1" x14ac:dyDescent="0.15">
      <c r="A16" s="74">
        <v>1</v>
      </c>
      <c r="B16" s="76" t="s">
        <v>46</v>
      </c>
      <c r="C16" s="77" t="s">
        <v>46</v>
      </c>
      <c r="D16" s="75" t="s">
        <v>70</v>
      </c>
      <c r="E16" s="75" t="s">
        <v>71</v>
      </c>
      <c r="F16" s="77" t="s">
        <v>102</v>
      </c>
      <c r="G16" s="69" t="s">
        <v>43</v>
      </c>
      <c r="H16" s="67" t="s">
        <v>23</v>
      </c>
      <c r="I16" s="67" t="s">
        <v>23</v>
      </c>
      <c r="J16" s="78" t="s">
        <v>44</v>
      </c>
      <c r="K16" s="75"/>
      <c r="L16" s="70" t="s">
        <v>7</v>
      </c>
      <c r="M16" s="75"/>
      <c r="N16" s="36"/>
      <c r="O16" s="75"/>
      <c r="P16" s="37"/>
      <c r="Q16" s="37"/>
      <c r="R16" s="37"/>
      <c r="S16" s="37"/>
      <c r="T16" s="37"/>
      <c r="U16" s="37"/>
      <c r="V16" s="37"/>
      <c r="W16" s="37"/>
    </row>
    <row r="17" spans="1:23" s="30" customFormat="1" ht="20.100000000000001" customHeight="1" x14ac:dyDescent="0.15">
      <c r="A17" s="74">
        <v>2</v>
      </c>
      <c r="B17" s="76" t="s">
        <v>46</v>
      </c>
      <c r="C17" s="77" t="s">
        <v>46</v>
      </c>
      <c r="D17" s="75" t="s">
        <v>70</v>
      </c>
      <c r="E17" s="75" t="s">
        <v>71</v>
      </c>
      <c r="F17" s="77" t="s">
        <v>103</v>
      </c>
      <c r="G17" s="69" t="s">
        <v>43</v>
      </c>
      <c r="H17" s="67" t="s">
        <v>23</v>
      </c>
      <c r="I17" s="67" t="s">
        <v>23</v>
      </c>
      <c r="J17" s="78" t="s">
        <v>44</v>
      </c>
      <c r="K17" s="75"/>
      <c r="L17" s="70" t="s">
        <v>7</v>
      </c>
      <c r="M17" s="75"/>
      <c r="N17" s="36"/>
      <c r="O17" s="75"/>
      <c r="P17" s="37"/>
      <c r="Q17" s="37"/>
      <c r="R17" s="37"/>
      <c r="S17" s="37"/>
      <c r="T17" s="37"/>
      <c r="U17" s="37"/>
      <c r="V17" s="37"/>
      <c r="W17" s="37"/>
    </row>
    <row r="18" spans="1:23" s="30" customFormat="1" ht="20.100000000000001" customHeight="1" x14ac:dyDescent="0.15">
      <c r="A18" s="74">
        <v>3</v>
      </c>
      <c r="B18" s="76" t="s">
        <v>59</v>
      </c>
      <c r="C18" s="76" t="s">
        <v>59</v>
      </c>
      <c r="D18" s="75" t="s">
        <v>15</v>
      </c>
      <c r="E18" s="75" t="s">
        <v>17</v>
      </c>
      <c r="F18" s="77" t="s">
        <v>104</v>
      </c>
      <c r="G18" s="69" t="s">
        <v>43</v>
      </c>
      <c r="H18" s="67" t="s">
        <v>23</v>
      </c>
      <c r="I18" s="80" t="s">
        <v>23</v>
      </c>
      <c r="J18" s="78" t="s">
        <v>61</v>
      </c>
      <c r="K18" s="75"/>
      <c r="L18" s="70" t="s">
        <v>7</v>
      </c>
      <c r="M18" s="75"/>
      <c r="N18" s="36"/>
      <c r="O18" s="75"/>
      <c r="P18" s="37"/>
      <c r="Q18" s="37"/>
      <c r="R18" s="37"/>
      <c r="S18" s="37"/>
      <c r="T18" s="37"/>
      <c r="U18" s="37"/>
      <c r="V18" s="37"/>
      <c r="W18" s="37"/>
    </row>
    <row r="19" spans="1:23" s="30" customFormat="1" ht="20.100000000000001" customHeight="1" x14ac:dyDescent="0.15">
      <c r="A19" s="74"/>
      <c r="B19" s="75"/>
      <c r="C19" s="75"/>
      <c r="D19" s="75"/>
      <c r="E19" s="75"/>
      <c r="F19" s="75"/>
      <c r="G19" s="69"/>
      <c r="H19" s="25"/>
      <c r="I19" s="25"/>
      <c r="J19" s="75"/>
      <c r="K19" s="75"/>
      <c r="L19" s="70"/>
      <c r="M19" s="75"/>
      <c r="N19" s="36"/>
      <c r="O19" s="75"/>
      <c r="P19" s="37"/>
      <c r="Q19" s="37"/>
      <c r="R19" s="37"/>
      <c r="S19" s="37"/>
      <c r="T19" s="37"/>
      <c r="U19" s="37"/>
      <c r="V19" s="37"/>
      <c r="W19" s="37"/>
    </row>
    <row r="20" spans="1:23" s="30" customFormat="1" ht="20.100000000000001" customHeight="1" x14ac:dyDescent="0.15">
      <c r="A20" s="74"/>
      <c r="B20" s="23"/>
      <c r="C20" s="23"/>
      <c r="D20" s="23"/>
      <c r="E20" s="23"/>
      <c r="F20" s="23"/>
      <c r="G20" s="24"/>
      <c r="H20" s="25"/>
      <c r="I20" s="25"/>
      <c r="J20" s="23"/>
      <c r="K20" s="23"/>
      <c r="L20" s="27"/>
      <c r="M20" s="23"/>
      <c r="N20" s="36"/>
      <c r="O20" s="23"/>
      <c r="P20" s="37"/>
      <c r="Q20" s="37"/>
      <c r="R20" s="37"/>
      <c r="S20" s="37"/>
      <c r="T20" s="37"/>
      <c r="U20" s="37"/>
      <c r="V20" s="37"/>
      <c r="W20" s="37"/>
    </row>
    <row r="21" spans="1:23" s="30" customFormat="1" ht="20.100000000000001" customHeight="1" x14ac:dyDescent="0.15">
      <c r="A21" s="22"/>
      <c r="B21" s="22"/>
      <c r="C21" s="23"/>
      <c r="D21" s="23"/>
      <c r="E21" s="23"/>
      <c r="F21" s="23"/>
      <c r="G21" s="24"/>
      <c r="H21" s="25"/>
      <c r="I21" s="25"/>
      <c r="J21" s="23"/>
      <c r="K21" s="17">
        <f>SUM(K5:K20)</f>
        <v>12</v>
      </c>
      <c r="L21" s="23"/>
      <c r="M21" s="17">
        <f>SUM(M5:M20)</f>
        <v>34</v>
      </c>
      <c r="N21" s="49"/>
      <c r="O21" s="23"/>
    </row>
    <row r="22" spans="1:23" ht="20.100000000000001" customHeight="1" x14ac:dyDescent="0.15">
      <c r="A22" s="85" t="s">
        <v>49</v>
      </c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</row>
    <row r="23" spans="1:23" s="30" customFormat="1" ht="20.100000000000001" customHeight="1" x14ac:dyDescent="0.15">
      <c r="A23" s="74">
        <v>2</v>
      </c>
      <c r="B23" s="76" t="s">
        <v>10</v>
      </c>
      <c r="C23" s="76" t="s">
        <v>10</v>
      </c>
      <c r="D23" s="75" t="s">
        <v>70</v>
      </c>
      <c r="E23" s="75" t="s">
        <v>74</v>
      </c>
      <c r="F23" s="77" t="s">
        <v>105</v>
      </c>
      <c r="G23" s="69" t="s">
        <v>26</v>
      </c>
      <c r="H23" s="67" t="s">
        <v>23</v>
      </c>
      <c r="I23" s="80" t="s">
        <v>23</v>
      </c>
      <c r="J23" s="78" t="s">
        <v>47</v>
      </c>
      <c r="K23" s="75"/>
      <c r="L23" s="70" t="s">
        <v>7</v>
      </c>
      <c r="M23" s="75"/>
      <c r="N23" s="36"/>
      <c r="O23" s="75"/>
      <c r="P23" s="37"/>
      <c r="Q23" s="37"/>
      <c r="R23" s="37"/>
      <c r="S23" s="37"/>
      <c r="T23" s="37"/>
      <c r="U23" s="37"/>
      <c r="V23" s="37"/>
      <c r="W23" s="37"/>
    </row>
    <row r="24" spans="1:23" s="30" customFormat="1" ht="20.100000000000001" customHeight="1" x14ac:dyDescent="0.15">
      <c r="A24" s="74"/>
      <c r="B24" s="76"/>
      <c r="C24" s="76"/>
      <c r="D24" s="75"/>
      <c r="E24" s="75"/>
      <c r="F24" s="75"/>
      <c r="G24" s="69"/>
      <c r="H24" s="67"/>
      <c r="I24" s="80"/>
      <c r="J24" s="78"/>
      <c r="K24" s="75"/>
      <c r="L24" s="70"/>
      <c r="M24" s="75"/>
      <c r="N24" s="36"/>
      <c r="O24" s="75"/>
      <c r="P24" s="37"/>
      <c r="Q24" s="37"/>
      <c r="R24" s="37"/>
      <c r="S24" s="37"/>
      <c r="T24" s="37"/>
      <c r="U24" s="37"/>
      <c r="V24" s="37"/>
      <c r="W24" s="37"/>
    </row>
    <row r="25" spans="1:23" s="46" customFormat="1" ht="20.100000000000001" customHeight="1" x14ac:dyDescent="0.15">
      <c r="A25" s="41"/>
      <c r="B25" s="41"/>
      <c r="C25" s="41"/>
      <c r="D25" s="41"/>
      <c r="E25" s="41"/>
      <c r="F25" s="41"/>
      <c r="G25" s="41"/>
      <c r="H25" s="41"/>
      <c r="I25" s="41"/>
      <c r="J25" s="43" t="s">
        <v>51</v>
      </c>
      <c r="K25" s="41" t="e">
        <f>SUM(#REF!)</f>
        <v>#REF!</v>
      </c>
      <c r="L25" s="47"/>
      <c r="M25" s="47" t="e">
        <f>SUM(#REF!)</f>
        <v>#REF!</v>
      </c>
      <c r="N25" s="44"/>
      <c r="O25" s="48"/>
      <c r="P25" s="37"/>
      <c r="Q25" s="37"/>
      <c r="R25" s="37"/>
      <c r="S25" s="37"/>
      <c r="T25" s="37"/>
      <c r="U25" s="37"/>
      <c r="V25" s="37"/>
      <c r="W25" s="37"/>
    </row>
    <row r="26" spans="1:23" ht="20.100000000000001" customHeight="1" x14ac:dyDescent="0.15">
      <c r="A26" s="85" t="s">
        <v>50</v>
      </c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37"/>
      <c r="Q26" s="37"/>
      <c r="R26" s="37"/>
      <c r="S26" s="37"/>
      <c r="T26" s="37"/>
      <c r="U26" s="37"/>
      <c r="V26" s="37"/>
      <c r="W26" s="37"/>
    </row>
    <row r="27" spans="1:23" ht="21.95" customHeight="1" x14ac:dyDescent="0.15">
      <c r="A27" s="25">
        <f t="shared" ref="A27" si="2">ROW()-4</f>
        <v>23</v>
      </c>
      <c r="B27" s="25" t="s">
        <v>16</v>
      </c>
      <c r="C27" s="33" t="s">
        <v>10</v>
      </c>
      <c r="D27" s="33" t="s">
        <v>18</v>
      </c>
      <c r="E27" s="33" t="s">
        <v>25</v>
      </c>
      <c r="F27" s="33" t="s">
        <v>106</v>
      </c>
      <c r="G27" s="25" t="s">
        <v>43</v>
      </c>
      <c r="H27" s="25" t="s">
        <v>11</v>
      </c>
      <c r="I27" s="33" t="s">
        <v>62</v>
      </c>
      <c r="J27" s="38" t="s">
        <v>77</v>
      </c>
      <c r="K27" s="38"/>
      <c r="L27" s="38" t="s">
        <v>7</v>
      </c>
      <c r="M27" s="38"/>
      <c r="N27" s="38"/>
      <c r="O27" s="73" t="s">
        <v>80</v>
      </c>
    </row>
    <row r="28" spans="1:23" ht="21.95" customHeight="1" x14ac:dyDescent="0.15">
      <c r="A28" s="25">
        <f t="shared" ref="A28" si="3">ROW()-4</f>
        <v>24</v>
      </c>
      <c r="B28" s="25" t="s">
        <v>45</v>
      </c>
      <c r="C28" s="33" t="s">
        <v>45</v>
      </c>
      <c r="D28" s="33" t="s">
        <v>15</v>
      </c>
      <c r="E28" s="33" t="s">
        <v>8</v>
      </c>
      <c r="F28" s="33" t="s">
        <v>107</v>
      </c>
      <c r="G28" s="25" t="s">
        <v>43</v>
      </c>
      <c r="H28" s="25" t="s">
        <v>11</v>
      </c>
      <c r="I28" s="33" t="s">
        <v>65</v>
      </c>
      <c r="J28" s="38" t="s">
        <v>81</v>
      </c>
      <c r="K28" s="38">
        <v>1</v>
      </c>
      <c r="L28" s="38" t="s">
        <v>6</v>
      </c>
      <c r="M28" s="38">
        <v>8</v>
      </c>
      <c r="N28" s="38"/>
      <c r="O28" s="73" t="s">
        <v>83</v>
      </c>
    </row>
    <row r="29" spans="1:23" ht="21.95" customHeight="1" x14ac:dyDescent="0.15">
      <c r="A29" s="25">
        <v>125</v>
      </c>
      <c r="B29" s="25" t="s">
        <v>16</v>
      </c>
      <c r="C29" s="33"/>
      <c r="D29" s="33" t="s">
        <v>20</v>
      </c>
      <c r="E29" s="33" t="s">
        <v>8</v>
      </c>
      <c r="F29" s="33" t="s">
        <v>108</v>
      </c>
      <c r="G29" s="25" t="s">
        <v>43</v>
      </c>
      <c r="H29" s="25" t="s">
        <v>11</v>
      </c>
      <c r="I29" s="33" t="s">
        <v>63</v>
      </c>
      <c r="J29" s="38" t="s">
        <v>64</v>
      </c>
      <c r="K29" s="38">
        <v>7</v>
      </c>
      <c r="L29" s="38" t="s">
        <v>6</v>
      </c>
      <c r="M29" s="38">
        <v>0</v>
      </c>
      <c r="N29" s="38"/>
      <c r="O29" s="73" t="s">
        <v>66</v>
      </c>
    </row>
    <row r="30" spans="1:23" s="46" customFormat="1" ht="20.100000000000001" customHeight="1" x14ac:dyDescent="0.15">
      <c r="A30" s="41"/>
      <c r="B30" s="41"/>
      <c r="C30" s="41"/>
      <c r="D30" s="41"/>
      <c r="E30" s="41"/>
      <c r="F30" s="41"/>
      <c r="G30" s="43"/>
      <c r="H30" s="41"/>
      <c r="I30" s="41"/>
      <c r="J30" s="43" t="s">
        <v>51</v>
      </c>
      <c r="K30" s="41">
        <f>SUM(K27:K29)</f>
        <v>8</v>
      </c>
      <c r="L30" s="47"/>
      <c r="M30" s="47">
        <f>SUM(M27:M29)</f>
        <v>8</v>
      </c>
      <c r="N30" s="47"/>
      <c r="O30" s="48"/>
      <c r="P30" s="13"/>
      <c r="Q30" s="13"/>
    </row>
    <row r="34" spans="10:15" s="51" customFormat="1" ht="20.100000000000001" customHeight="1" x14ac:dyDescent="0.15">
      <c r="J34" s="51" t="s">
        <v>33</v>
      </c>
      <c r="K34" s="51" t="e">
        <f>K10+K14+K21+K25+K30</f>
        <v>#REF!</v>
      </c>
      <c r="L34" s="52"/>
      <c r="M34" s="52" t="e">
        <f>M10+M14+M21+M25+M30</f>
        <v>#REF!</v>
      </c>
      <c r="N34" s="52"/>
      <c r="O34" s="52"/>
    </row>
    <row r="35" spans="10:15" ht="20.100000000000001" customHeight="1" x14ac:dyDescent="0.15">
      <c r="M35" s="51" t="s">
        <v>52</v>
      </c>
      <c r="N35" s="51"/>
    </row>
  </sheetData>
  <autoFilter ref="A3:O30" xr:uid="{00000000-0009-0000-0000-000000000000}"/>
  <mergeCells count="6">
    <mergeCell ref="A26:O26"/>
    <mergeCell ref="A11:O11"/>
    <mergeCell ref="A15:O15"/>
    <mergeCell ref="A22:O22"/>
    <mergeCell ref="A1:O1"/>
    <mergeCell ref="A4:O4"/>
  </mergeCells>
  <phoneticPr fontId="2" type="noConversion"/>
  <pageMargins left="0" right="0" top="0" bottom="0" header="0" footer="0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workbookViewId="0">
      <selection activeCell="E21" sqref="E21"/>
    </sheetView>
  </sheetViews>
  <sheetFormatPr defaultRowHeight="13.5" x14ac:dyDescent="0.15"/>
  <cols>
    <col min="1" max="4" width="13" customWidth="1"/>
    <col min="5" max="5" width="17.875" customWidth="1"/>
    <col min="6" max="6" width="13" customWidth="1"/>
    <col min="7" max="8" width="18.25" style="9" customWidth="1"/>
    <col min="9" max="9" width="13" style="9" customWidth="1"/>
    <col min="10" max="10" width="40" style="2" customWidth="1"/>
    <col min="11" max="11" width="25.5" style="9" customWidth="1"/>
    <col min="12" max="12" width="16" customWidth="1"/>
  </cols>
  <sheetData>
    <row r="1" spans="1:11" s="1" customFormat="1" ht="27" x14ac:dyDescent="0.15">
      <c r="A1" s="5" t="s">
        <v>41</v>
      </c>
      <c r="B1" s="5" t="s">
        <v>2</v>
      </c>
      <c r="C1" s="5" t="s">
        <v>35</v>
      </c>
      <c r="D1" s="5" t="s">
        <v>3</v>
      </c>
      <c r="E1" s="5" t="s">
        <v>34</v>
      </c>
      <c r="F1" s="5" t="s">
        <v>27</v>
      </c>
      <c r="G1" s="6" t="s">
        <v>37</v>
      </c>
      <c r="H1" s="6" t="s">
        <v>38</v>
      </c>
      <c r="I1" s="8" t="s">
        <v>53</v>
      </c>
      <c r="J1" s="6" t="s">
        <v>39</v>
      </c>
      <c r="K1" s="6" t="s">
        <v>40</v>
      </c>
    </row>
    <row r="2" spans="1:11" s="1" customFormat="1" ht="20.100000000000001" customHeight="1" x14ac:dyDescent="0.15">
      <c r="A2" s="76" t="s">
        <v>86</v>
      </c>
      <c r="B2" s="76" t="s">
        <v>59</v>
      </c>
      <c r="C2" s="74" t="s">
        <v>5</v>
      </c>
      <c r="D2" s="75" t="s">
        <v>12</v>
      </c>
      <c r="E2" s="84" t="s">
        <v>96</v>
      </c>
      <c r="F2" s="84" t="s">
        <v>43</v>
      </c>
      <c r="G2" s="81" t="s">
        <v>89</v>
      </c>
      <c r="H2" s="81" t="s">
        <v>88</v>
      </c>
      <c r="I2" s="4">
        <v>7</v>
      </c>
      <c r="J2" s="3"/>
      <c r="K2" s="3"/>
    </row>
    <row r="3" spans="1:11" s="1" customFormat="1" ht="20.100000000000001" customHeight="1" x14ac:dyDescent="0.15">
      <c r="A3" s="76" t="s">
        <v>86</v>
      </c>
      <c r="B3" s="76" t="s">
        <v>59</v>
      </c>
      <c r="C3" s="74" t="s">
        <v>5</v>
      </c>
      <c r="D3" s="75" t="s">
        <v>12</v>
      </c>
      <c r="E3" s="84" t="s">
        <v>97</v>
      </c>
      <c r="F3" s="84" t="s">
        <v>43</v>
      </c>
      <c r="G3" s="81" t="s">
        <v>89</v>
      </c>
      <c r="H3" s="81" t="s">
        <v>88</v>
      </c>
      <c r="I3" s="4">
        <v>7</v>
      </c>
      <c r="J3" s="3"/>
      <c r="K3" s="3"/>
    </row>
    <row r="4" spans="1:11" s="1" customFormat="1" ht="20.100000000000001" customHeight="1" x14ac:dyDescent="0.15">
      <c r="A4" s="76" t="s">
        <v>86</v>
      </c>
      <c r="B4" s="76" t="s">
        <v>59</v>
      </c>
      <c r="C4" s="75" t="s">
        <v>9</v>
      </c>
      <c r="D4" s="75" t="s">
        <v>90</v>
      </c>
      <c r="E4" s="77" t="s">
        <v>98</v>
      </c>
      <c r="F4" s="69" t="s">
        <v>26</v>
      </c>
      <c r="G4" s="81" t="s">
        <v>91</v>
      </c>
      <c r="H4" s="81" t="s">
        <v>92</v>
      </c>
      <c r="I4" s="4">
        <v>37</v>
      </c>
      <c r="J4" s="3"/>
      <c r="K4" s="3"/>
    </row>
    <row r="5" spans="1:11" s="1" customFormat="1" ht="20.100000000000001" customHeight="1" x14ac:dyDescent="0.15">
      <c r="A5" s="76" t="s">
        <v>86</v>
      </c>
      <c r="B5" s="76" t="s">
        <v>59</v>
      </c>
      <c r="C5" s="75" t="s">
        <v>13</v>
      </c>
      <c r="D5" s="75" t="s">
        <v>12</v>
      </c>
      <c r="E5" s="77" t="s">
        <v>99</v>
      </c>
      <c r="F5" s="69" t="s">
        <v>26</v>
      </c>
      <c r="G5" s="81" t="s">
        <v>93</v>
      </c>
      <c r="H5" s="81" t="s">
        <v>88</v>
      </c>
      <c r="I5" s="4">
        <v>7</v>
      </c>
      <c r="J5" s="3"/>
      <c r="K5" s="3"/>
    </row>
    <row r="6" spans="1:11" s="1" customFormat="1" ht="20.100000000000001" customHeight="1" x14ac:dyDescent="0.15">
      <c r="A6" s="76" t="s">
        <v>86</v>
      </c>
      <c r="B6" s="76" t="s">
        <v>59</v>
      </c>
      <c r="C6" s="74" t="s">
        <v>13</v>
      </c>
      <c r="D6" s="75" t="s">
        <v>12</v>
      </c>
      <c r="E6" s="84" t="s">
        <v>100</v>
      </c>
      <c r="F6" s="69" t="s">
        <v>26</v>
      </c>
      <c r="G6" s="81" t="s">
        <v>93</v>
      </c>
      <c r="H6" s="81" t="s">
        <v>88</v>
      </c>
      <c r="I6" s="4">
        <v>7</v>
      </c>
      <c r="J6" s="3"/>
      <c r="K6" s="3"/>
    </row>
    <row r="7" spans="1:11" s="1" customFormat="1" ht="20.100000000000001" customHeight="1" x14ac:dyDescent="0.15">
      <c r="A7" s="76" t="s">
        <v>86</v>
      </c>
      <c r="B7" s="76" t="s">
        <v>46</v>
      </c>
      <c r="C7" s="75" t="s">
        <v>94</v>
      </c>
      <c r="D7" s="75" t="s">
        <v>95</v>
      </c>
      <c r="E7" s="77" t="s">
        <v>101</v>
      </c>
      <c r="F7" s="69" t="s">
        <v>26</v>
      </c>
      <c r="G7" s="81" t="s">
        <v>84</v>
      </c>
      <c r="H7" s="81" t="s">
        <v>87</v>
      </c>
      <c r="I7" s="4">
        <v>2</v>
      </c>
      <c r="J7" s="3"/>
      <c r="K7" s="3"/>
    </row>
    <row r="8" spans="1:11" s="1" customFormat="1" ht="20.100000000000001" customHeight="1" x14ac:dyDescent="0.15">
      <c r="A8" s="76"/>
      <c r="B8" s="76"/>
      <c r="C8" s="75"/>
      <c r="D8" s="75"/>
      <c r="E8" s="75"/>
      <c r="F8" s="69"/>
      <c r="G8" s="81"/>
      <c r="H8" s="81"/>
      <c r="I8" s="4"/>
      <c r="J8" s="3"/>
      <c r="K8" s="3"/>
    </row>
    <row r="9" spans="1:11" s="1" customFormat="1" ht="20.100000000000001" customHeight="1" x14ac:dyDescent="0.15">
      <c r="A9" s="76"/>
      <c r="B9" s="76"/>
      <c r="C9" s="75"/>
      <c r="D9" s="75"/>
      <c r="E9" s="75"/>
      <c r="F9" s="69"/>
      <c r="G9" s="81"/>
      <c r="H9" s="81"/>
      <c r="I9" s="4"/>
      <c r="J9" s="3"/>
      <c r="K9" s="3"/>
    </row>
    <row r="10" spans="1:11" s="1" customFormat="1" ht="20.100000000000001" customHeight="1" x14ac:dyDescent="0.15">
      <c r="A10" s="76"/>
      <c r="B10" s="76"/>
      <c r="C10" s="75"/>
      <c r="D10" s="75"/>
      <c r="E10" s="75"/>
      <c r="F10" s="69"/>
      <c r="G10" s="81"/>
      <c r="H10" s="81"/>
      <c r="I10" s="4"/>
      <c r="J10" s="3"/>
      <c r="K10" s="3"/>
    </row>
    <row r="11" spans="1:11" s="7" customFormat="1" ht="20.100000000000001" customHeight="1" x14ac:dyDescent="0.15">
      <c r="A11" s="10"/>
      <c r="B11" s="10"/>
      <c r="C11" s="10"/>
      <c r="D11" s="10"/>
      <c r="E11" s="10"/>
      <c r="F11" s="10"/>
      <c r="G11" s="11"/>
      <c r="H11" s="11" t="s">
        <v>33</v>
      </c>
      <c r="I11" s="11">
        <f>SUM(I2:I10)</f>
        <v>67</v>
      </c>
      <c r="J11" s="12"/>
      <c r="K11" s="12"/>
    </row>
    <row r="12" spans="1:11" ht="20.100000000000001" customHeight="1" x14ac:dyDescent="0.15"/>
    <row r="13" spans="1:11" ht="20.100000000000001" customHeight="1" x14ac:dyDescent="0.15"/>
    <row r="14" spans="1:11" ht="20.100000000000001" customHeight="1" x14ac:dyDescent="0.15"/>
    <row r="15" spans="1:11" ht="20.100000000000001" customHeight="1" x14ac:dyDescent="0.15"/>
    <row r="16" spans="1:11" ht="20.100000000000001" customHeight="1" x14ac:dyDescent="0.15"/>
    <row r="17" ht="20.100000000000001" customHeight="1" x14ac:dyDescent="0.15"/>
    <row r="18" ht="20.100000000000001" customHeight="1" x14ac:dyDescent="0.15"/>
    <row r="19" ht="20.100000000000001" customHeight="1" x14ac:dyDescent="0.15"/>
    <row r="20" ht="20.100000000000001" customHeight="1" x14ac:dyDescent="0.15"/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数值天气预报服务台账</vt:lpstr>
      <vt:lpstr>其他信息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2026-04-03T08:22:47Z</dcterms:modified>
</cp:coreProperties>
</file>